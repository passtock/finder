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타오바오_가죽자켓_브랜드실측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맑은 고딕"/>
      <b val="1"/>
      <color rgb="00FFFFFF"/>
      <sz val="11"/>
    </font>
    <font>
      <name val="맑은 고딕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Relationship Type="http://schemas.openxmlformats.org/officeDocument/2006/relationships/image" Target="/xl/media/image2.jpeg" Id="rId2"/><Relationship Type="http://schemas.openxmlformats.org/officeDocument/2006/relationships/image" Target="/xl/media/image3.jpeg" Id="rId3"/><Relationship Type="http://schemas.openxmlformats.org/officeDocument/2006/relationships/image" Target="/xl/media/image4.jpeg" Id="rId4"/><Relationship Type="http://schemas.openxmlformats.org/officeDocument/2006/relationships/image" Target="/xl/media/image5.jpeg" Id="rId5"/><Relationship Type="http://schemas.openxmlformats.org/officeDocument/2006/relationships/image" Target="/xl/media/image6.jpeg" Id="rId6"/><Relationship Type="http://schemas.openxmlformats.org/officeDocument/2006/relationships/image" Target="/xl/media/image7.jpeg" Id="rId7"/><Relationship Type="http://schemas.openxmlformats.org/officeDocument/2006/relationships/image" Target="/xl/media/image8.jpeg" Id="rId8"/><Relationship Type="http://schemas.openxmlformats.org/officeDocument/2006/relationships/image" Target="/xl/media/image9.jpeg" Id="rId9"/><Relationship Type="http://schemas.openxmlformats.org/officeDocument/2006/relationships/image" Target="/xl/media/image10.jpeg" Id="rId10"/><Relationship Type="http://schemas.openxmlformats.org/officeDocument/2006/relationships/image" Target="/xl/media/image11.jpeg" Id="rId11"/><Relationship Type="http://schemas.openxmlformats.org/officeDocument/2006/relationships/image" Target="/xl/media/image12.jpeg" Id="rId12"/><Relationship Type="http://schemas.openxmlformats.org/officeDocument/2006/relationships/image" Target="/xl/media/image13.jpeg" Id="rId13"/><Relationship Type="http://schemas.openxmlformats.org/officeDocument/2006/relationships/image" Target="/xl/media/image14.jpeg" Id="rId14"/><Relationship Type="http://schemas.openxmlformats.org/officeDocument/2006/relationships/image" Target="/xl/media/image15.jpeg" Id="rId15"/><Relationship Type="http://schemas.openxmlformats.org/officeDocument/2006/relationships/image" Target="/xl/media/image16.jpeg" Id="rId16"/><Relationship Type="http://schemas.openxmlformats.org/officeDocument/2006/relationships/image" Target="/xl/media/image17.jpeg" Id="rId17"/><Relationship Type="http://schemas.openxmlformats.org/officeDocument/2006/relationships/image" Target="/xl/media/image18.jpeg" Id="rId18"/><Relationship Type="http://schemas.openxmlformats.org/officeDocument/2006/relationships/image" Target="/xl/media/image19.jpeg" Id="rId19"/><Relationship Type="http://schemas.openxmlformats.org/officeDocument/2006/relationships/image" Target="/xl/media/image20.jpeg" Id="rId20"/><Relationship Type="http://schemas.openxmlformats.org/officeDocument/2006/relationships/image" Target="/xl/media/image21.jpeg" Id="rId21"/><Relationship Type="http://schemas.openxmlformats.org/officeDocument/2006/relationships/image" Target="/xl/media/image22.jpeg" Id="rId22"/><Relationship Type="http://schemas.openxmlformats.org/officeDocument/2006/relationships/image" Target="/xl/media/image23.jpeg" Id="rId23"/><Relationship Type="http://schemas.openxmlformats.org/officeDocument/2006/relationships/image" Target="/xl/media/image24.jpeg" Id="rId24"/><Relationship Type="http://schemas.openxmlformats.org/officeDocument/2006/relationships/image" Target="/xl/media/image25.jpeg" Id="rId25"/><Relationship Type="http://schemas.openxmlformats.org/officeDocument/2006/relationships/image" Target="/xl/media/image26.jpeg" Id="rId26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904875" cy="904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2</row>
      <rowOff>0</rowOff>
    </from>
    <ext cx="904875" cy="9048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3</row>
      <rowOff>0</rowOff>
    </from>
    <ext cx="904875" cy="9048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4</row>
      <rowOff>0</rowOff>
    </from>
    <ext cx="904875" cy="9048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5</row>
      <rowOff>0</rowOff>
    </from>
    <ext cx="904875" cy="9048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6</row>
      <rowOff>0</rowOff>
    </from>
    <ext cx="904875" cy="9048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7</row>
      <rowOff>0</rowOff>
    </from>
    <ext cx="904875" cy="90487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8</row>
      <rowOff>0</rowOff>
    </from>
    <ext cx="904875" cy="9048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9</row>
      <rowOff>0</rowOff>
    </from>
    <ext cx="904875" cy="90487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10</row>
      <rowOff>0</rowOff>
    </from>
    <ext cx="904875" cy="90487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11</row>
      <rowOff>0</rowOff>
    </from>
    <ext cx="904875" cy="90487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12</row>
      <rowOff>0</rowOff>
    </from>
    <ext cx="904875" cy="904875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13</row>
      <rowOff>0</rowOff>
    </from>
    <ext cx="904875" cy="90487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14</row>
      <rowOff>0</rowOff>
    </from>
    <ext cx="904875" cy="904875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15</row>
      <rowOff>0</rowOff>
    </from>
    <ext cx="904875" cy="904875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16</row>
      <rowOff>0</rowOff>
    </from>
    <ext cx="904875" cy="904875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17</row>
      <rowOff>0</rowOff>
    </from>
    <ext cx="904875" cy="904875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18</row>
      <rowOff>0</rowOff>
    </from>
    <ext cx="904875" cy="904875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19</row>
      <rowOff>0</rowOff>
    </from>
    <ext cx="904875" cy="904875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20</row>
      <rowOff>0</rowOff>
    </from>
    <ext cx="904875" cy="904875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21</row>
      <rowOff>0</rowOff>
    </from>
    <ext cx="904875" cy="904875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22</row>
      <rowOff>0</rowOff>
    </from>
    <ext cx="904875" cy="904875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23</row>
      <rowOff>0</rowOff>
    </from>
    <ext cx="904875" cy="904875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24</row>
      <rowOff>0</rowOff>
    </from>
    <ext cx="904875" cy="904875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25</row>
      <rowOff>0</rowOff>
    </from>
    <ext cx="904875" cy="904875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26</row>
      <rowOff>0</rowOff>
    </from>
    <ext cx="904875" cy="904875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6" customWidth="1" min="3" max="3"/>
    <col width="14" customWidth="1" min="4" max="4"/>
    <col width="10" customWidth="1" min="5" max="5"/>
    <col width="12" customWidth="1" min="6" max="6"/>
    <col width="12" customWidth="1" min="7" max="7"/>
    <col width="12" customWidth="1" min="8" max="8"/>
    <col width="12" customWidth="1" min="9" max="9"/>
    <col width="16" customWidth="1" min="10" max="10"/>
    <col width="18" customWidth="1" min="11" max="11"/>
    <col width="12" customWidth="1" min="12" max="12"/>
    <col width="22" customWidth="1" min="13" max="13"/>
    <col width="50" customWidth="1" min="14" max="14"/>
  </cols>
  <sheetData>
    <row r="1">
      <c r="A1" s="1" t="inlineStr">
        <is>
          <t>순번</t>
        </is>
      </c>
      <c r="B1" s="1" t="inlineStr">
        <is>
          <t>자켓품번</t>
        </is>
      </c>
      <c r="C1" s="1" t="inlineStr">
        <is>
          <t>판독브랜드</t>
        </is>
      </c>
      <c r="D1" s="1" t="inlineStr">
        <is>
          <t>가죽소재</t>
        </is>
      </c>
      <c r="E1" s="1" t="inlineStr">
        <is>
          <t>원산지</t>
        </is>
      </c>
      <c r="F1" s="1" t="inlineStr">
        <is>
          <t>어깨(cm)</t>
        </is>
      </c>
      <c r="G1" s="1" t="inlineStr">
        <is>
          <t>가슴(cm)</t>
        </is>
      </c>
      <c r="H1" s="1" t="inlineStr">
        <is>
          <t>기장(cm)</t>
        </is>
      </c>
      <c r="I1" s="1" t="inlineStr">
        <is>
          <t>소매(cm)</t>
        </is>
      </c>
      <c r="J1" s="1" t="inlineStr">
        <is>
          <t>실측카드 미리보기</t>
        </is>
      </c>
      <c r="K1" s="1" t="inlineStr">
        <is>
          <t>실측사진 파일열기</t>
        </is>
      </c>
      <c r="L1" s="1" t="inlineStr">
        <is>
          <t>총사진수</t>
        </is>
      </c>
      <c r="M1" s="1" t="inlineStr">
        <is>
          <t>상품폴더</t>
        </is>
      </c>
      <c r="N1" s="1" t="inlineStr">
        <is>
          <t>상품명</t>
        </is>
      </c>
    </row>
    <row r="2" ht="80" customHeight="1">
      <c r="A2" s="2" t="n">
        <v>1</v>
      </c>
      <c r="B2" s="2" t="inlineStr">
        <is>
          <t>E1</t>
        </is>
      </c>
      <c r="C2" s="3" t="inlineStr">
        <is>
          <t>Procyon</t>
        </is>
      </c>
      <c r="D2" s="3" t="inlineStr">
        <is>
          <t>양가죽</t>
        </is>
      </c>
      <c r="E2" s="2" t="inlineStr">
        <is>
          <t>불명</t>
        </is>
      </c>
      <c r="F2" s="2" t="inlineStr">
        <is>
          <t>48</t>
        </is>
      </c>
      <c r="G2" s="2" t="n">
        <v>60</v>
      </c>
      <c r="H2" s="2" t="n">
        <v>66</v>
      </c>
      <c r="I2" s="2" t="n">
        <v>62</v>
      </c>
      <c r="J2" s="2" t="inlineStr"/>
      <c r="K2" s="2">
        <f>HYPERLINK("c:\Users\passp\Desktop\univercity\4-2\taobao_jackets\downloaded_jackets\item_1077196468019\photo_002.jpg", "photo_002.jpg")</f>
        <v/>
      </c>
      <c r="L2" s="2" t="n">
        <v>420</v>
      </c>
      <c r="M2" s="3" t="inlineStr">
        <is>
          <t>item_1077196468019</t>
        </is>
      </c>
      <c r="N2" s="3" t="inlineStr">
        <is>
          <t>vintage古着皮衣 男士修身机车款头层绵羊皮真皮外套时尚夹克 E1</t>
        </is>
      </c>
    </row>
    <row r="3" ht="80" customHeight="1">
      <c r="A3" s="2" t="n">
        <v>2</v>
      </c>
      <c r="B3" s="2" t="inlineStr">
        <is>
          <t>91</t>
        </is>
      </c>
      <c r="C3" s="3" t="inlineStr">
        <is>
          <t>빈티지 오리지널</t>
        </is>
      </c>
      <c r="D3" s="3" t="inlineStr">
        <is>
          <t>스웨이드</t>
        </is>
      </c>
      <c r="E3" s="2" t="inlineStr">
        <is>
          <t>불명</t>
        </is>
      </c>
      <c r="F3" s="2" t="inlineStr">
        <is>
          <t>41</t>
        </is>
      </c>
      <c r="G3" s="2" t="n">
        <v>48</v>
      </c>
      <c r="H3" s="2" t="n">
        <v>70</v>
      </c>
      <c r="I3" s="2" t="n">
        <v>61</v>
      </c>
      <c r="J3" s="2" t="inlineStr"/>
      <c r="K3" s="2">
        <f>HYPERLINK("c:\Users\passp\Desktop\univercity\4-2\taobao_jackets\downloaded_jackets\item_811036195091\photo_003.jpg", "photo_003.jpg")</f>
        <v/>
      </c>
      <c r="L3" s="2" t="n">
        <v>150</v>
      </c>
      <c r="M3" s="3" t="inlineStr">
        <is>
          <t>item_811036195091</t>
        </is>
      </c>
      <c r="N3" s="3" t="inlineStr">
        <is>
          <t>vintage古着 复古麂皮绒西装夹克商务西服休闲单排扣外套男女AC91</t>
        </is>
      </c>
    </row>
    <row r="4" ht="80" customHeight="1">
      <c r="A4" s="2" t="n">
        <v>3</v>
      </c>
      <c r="B4" s="2" t="inlineStr">
        <is>
          <t>Q118</t>
        </is>
      </c>
      <c r="C4" s="3" t="inlineStr">
        <is>
          <t>빈티지 오리지널</t>
        </is>
      </c>
      <c r="D4" s="3" t="inlineStr">
        <is>
          <t>소가죽</t>
        </is>
      </c>
      <c r="E4" s="2" t="inlineStr">
        <is>
          <t>불명</t>
        </is>
      </c>
      <c r="F4" s="2" t="inlineStr">
        <is>
          <t>51</t>
        </is>
      </c>
      <c r="G4" s="2" t="n">
        <v>58</v>
      </c>
      <c r="H4" s="2" t="n">
        <v>74</v>
      </c>
      <c r="I4" s="2" t="n">
        <v>54</v>
      </c>
      <c r="J4" s="2" t="inlineStr"/>
      <c r="K4" s="2">
        <f>HYPERLINK("c:\Users\passp\Desktop\univercity\4-2\taobao_jackets\downloaded_jackets\item_1080043211319\photo_002.jpg", "photo_002.jpg")</f>
        <v/>
      </c>
      <c r="L4" s="2" t="n">
        <v>179</v>
      </c>
      <c r="M4" s="3" t="inlineStr">
        <is>
          <t>item_1080043211319</t>
        </is>
      </c>
      <c r="N4" s="3" t="inlineStr">
        <is>
          <t>vintage古着皮衣 长袖秋冬季个性防风百搭外套翻领保暖休闲男Q118</t>
        </is>
      </c>
    </row>
    <row r="5" ht="80" customHeight="1">
      <c r="A5" s="2" t="n">
        <v>4</v>
      </c>
      <c r="B5" s="2" t="inlineStr">
        <is>
          <t>P306</t>
        </is>
      </c>
      <c r="C5" s="3" t="inlineStr">
        <is>
          <t>GIO BERTI</t>
        </is>
      </c>
      <c r="D5" s="3" t="inlineStr">
        <is>
          <t>양가죽</t>
        </is>
      </c>
      <c r="E5" s="2" t="inlineStr">
        <is>
          <t>불명</t>
        </is>
      </c>
      <c r="F5" s="2" t="inlineStr">
        <is>
          <t>45</t>
        </is>
      </c>
      <c r="G5" s="2" t="n">
        <v>50</v>
      </c>
      <c r="H5" s="2" t="n">
        <v>72</v>
      </c>
      <c r="I5" s="2" t="n">
        <v>62</v>
      </c>
      <c r="J5" s="2" t="inlineStr"/>
      <c r="K5" s="2">
        <f>HYPERLINK("c:\Users\passp\Desktop\univercity\4-2\taobao_jackets\downloaded_jackets\item_1083932831050\photo_002.jpg", "photo_002.jpg")</f>
        <v/>
      </c>
      <c r="L5" s="2" t="n">
        <v>164</v>
      </c>
      <c r="M5" s="3" t="inlineStr">
        <is>
          <t>item_1083932831050</t>
        </is>
      </c>
      <c r="N5" s="3" t="inlineStr">
        <is>
          <t>vintage古着皮衣 商务休闲百搭款头层牛皮男士西服简约款外套P306</t>
        </is>
      </c>
    </row>
    <row r="6" ht="80" customHeight="1">
      <c r="A6" s="2" t="n">
        <v>5</v>
      </c>
      <c r="B6" s="2" t="inlineStr">
        <is>
          <t>P1</t>
        </is>
      </c>
      <c r="C6" s="3" t="inlineStr">
        <is>
          <t>빈티지 오리지널</t>
        </is>
      </c>
      <c r="D6" s="3" t="inlineStr">
        <is>
          <t>소가죽</t>
        </is>
      </c>
      <c r="E6" s="2" t="inlineStr">
        <is>
          <t>불명</t>
        </is>
      </c>
      <c r="F6" s="2" t="inlineStr">
        <is>
          <t>45</t>
        </is>
      </c>
      <c r="G6" s="2" t="n">
        <v>54</v>
      </c>
      <c r="H6" s="2" t="n">
        <v>72</v>
      </c>
      <c r="I6" s="2" t="n">
        <v>60</v>
      </c>
      <c r="J6" s="2" t="inlineStr"/>
      <c r="K6" s="2">
        <f>HYPERLINK("c:\Users\passp\Desktop\univercity\4-2\taobao_jackets\downloaded_jackets\item_1071816497728\photo_002.jpg", "photo_002.jpg")</f>
        <v/>
      </c>
      <c r="L6" s="2" t="n">
        <v>221</v>
      </c>
      <c r="M6" s="3" t="inlineStr">
        <is>
          <t>item_1071816497728</t>
        </is>
      </c>
      <c r="N6" s="3" t="inlineStr">
        <is>
          <t>vintage古着皮衣 商务休闲百搭款头层羊皮男士西服简约款外套P1</t>
        </is>
      </c>
    </row>
    <row r="7" ht="80" customHeight="1">
      <c r="A7" s="2" t="n">
        <v>6</v>
      </c>
      <c r="B7" s="2" t="inlineStr">
        <is>
          <t>Q61</t>
        </is>
      </c>
      <c r="C7" s="3" t="inlineStr">
        <is>
          <t>빈티지 오리지널</t>
        </is>
      </c>
      <c r="D7" s="3" t="inlineStr">
        <is>
          <t>양가죽</t>
        </is>
      </c>
      <c r="E7" s="2" t="inlineStr">
        <is>
          <t>불명</t>
        </is>
      </c>
      <c r="F7" s="2" t="inlineStr">
        <is>
          <t>56</t>
        </is>
      </c>
      <c r="G7" s="2" t="n">
        <v>59</v>
      </c>
      <c r="H7" s="2" t="n">
        <v>79</v>
      </c>
      <c r="I7" s="2" t="n">
        <v>58</v>
      </c>
      <c r="J7" s="2" t="inlineStr"/>
      <c r="K7" s="2">
        <f>HYPERLINK("c:\Users\passp\Desktop\univercity\4-2\taobao_jackets\downloaded_jackets\item_1075139885104\photo_002.jpg", "photo_002.jpg")</f>
        <v/>
      </c>
      <c r="L7" s="2" t="n">
        <v>212</v>
      </c>
      <c r="M7" s="3" t="inlineStr">
        <is>
          <t>item_1075139885104</t>
        </is>
      </c>
      <c r="N7" s="3" t="inlineStr">
        <is>
          <t>vintage古着皮衣 长袖秋冬季个性防风百搭外套翻领保暖休闲男Q61</t>
        </is>
      </c>
    </row>
    <row r="8" ht="80" customHeight="1">
      <c r="A8" s="2" t="n">
        <v>7</v>
      </c>
      <c r="B8" s="2" t="inlineStr">
        <is>
          <t>Q91</t>
        </is>
      </c>
      <c r="C8" s="3" t="inlineStr">
        <is>
          <t>빈티지 오리지널</t>
        </is>
      </c>
      <c r="D8" s="3" t="inlineStr">
        <is>
          <t>양가죽</t>
        </is>
      </c>
      <c r="E8" s="2" t="inlineStr">
        <is>
          <t>불명</t>
        </is>
      </c>
      <c r="F8" s="2" t="inlineStr">
        <is>
          <t>55</t>
        </is>
      </c>
      <c r="G8" s="2" t="n">
        <v>60</v>
      </c>
      <c r="H8" s="2" t="n">
        <v>82</v>
      </c>
      <c r="I8" s="2" t="n">
        <v>58</v>
      </c>
      <c r="J8" s="2" t="inlineStr"/>
      <c r="K8" s="2">
        <f>HYPERLINK("c:\Users\passp\Desktop\univercity\4-2\taobao_jackets\downloaded_jackets\item_1078567805117\photo_002.jpg", "photo_002.jpg")</f>
        <v/>
      </c>
      <c r="L8" s="2" t="n">
        <v>213</v>
      </c>
      <c r="M8" s="3" t="inlineStr">
        <is>
          <t>item_1078567805117</t>
        </is>
      </c>
      <c r="N8" s="3" t="inlineStr">
        <is>
          <t>vintage古着皮衣 长袖秋冬季个性防风百搭外套翻领保暖休闲男Q91</t>
        </is>
      </c>
    </row>
    <row r="9" ht="80" customHeight="1">
      <c r="A9" s="2" t="n">
        <v>8</v>
      </c>
      <c r="B9" s="2" t="inlineStr">
        <is>
          <t>M1</t>
        </is>
      </c>
      <c r="C9" s="3" t="inlineStr">
        <is>
          <t>Schott</t>
        </is>
      </c>
      <c r="D9" s="3" t="inlineStr">
        <is>
          <t>양가죽</t>
        </is>
      </c>
      <c r="E9" s="2" t="inlineStr">
        <is>
          <t>미국</t>
        </is>
      </c>
      <c r="F9" s="2" t="inlineStr">
        <is>
          <t>44</t>
        </is>
      </c>
      <c r="G9" s="2" t="n">
        <v>66</v>
      </c>
      <c r="H9" s="2" t="n">
        <v>68</v>
      </c>
      <c r="I9" s="2" t="n">
        <v>77</v>
      </c>
      <c r="J9" s="2" t="inlineStr"/>
      <c r="K9" s="2">
        <f>HYPERLINK("c:\Users\passp\Desktop\univercity\4-2\taobao_jackets\downloaded_jackets\item_1061875162656\photo_002.jpg", "photo_002.jpg")</f>
        <v/>
      </c>
      <c r="L9" s="2" t="n">
        <v>196</v>
      </c>
      <c r="M9" s="3" t="inlineStr">
        <is>
          <t>item_1061875162656</t>
        </is>
      </c>
      <c r="N9" s="3" t="inlineStr">
        <is>
          <t>vintage古着皮衣 港式复古风宽松机车款皮夹克飞行员外套男款M1</t>
        </is>
      </c>
    </row>
    <row r="10" ht="80" customHeight="1">
      <c r="A10" s="2" t="n">
        <v>9</v>
      </c>
      <c r="B10" s="2" t="inlineStr">
        <is>
          <t>M41</t>
        </is>
      </c>
      <c r="C10" s="3" t="inlineStr">
        <is>
          <t>빈티지 오리지널</t>
        </is>
      </c>
      <c r="D10" s="3" t="inlineStr">
        <is>
          <t>양가죽</t>
        </is>
      </c>
      <c r="E10" s="2" t="inlineStr">
        <is>
          <t>불명</t>
        </is>
      </c>
      <c r="F10" s="2" t="inlineStr">
        <is>
          <t>55</t>
        </is>
      </c>
      <c r="G10" s="2" t="n">
        <v>62</v>
      </c>
      <c r="H10" s="2" t="n">
        <v>65</v>
      </c>
      <c r="I10" s="2" t="n">
        <v>58</v>
      </c>
      <c r="J10" s="2" t="inlineStr"/>
      <c r="K10" s="2">
        <f>HYPERLINK("c:\Users\passp\Desktop\univercity\4-2\taobao_jackets\downloaded_jackets\item_1069955447343\photo_002.jpg", "photo_002.jpg")</f>
        <v/>
      </c>
      <c r="L10" s="2" t="n">
        <v>203</v>
      </c>
      <c r="M10" s="3" t="inlineStr">
        <is>
          <t>item_1069955447343</t>
        </is>
      </c>
      <c r="N10" s="3" t="inlineStr">
        <is>
          <t>vintage古着皮衣 美式复古短款宽松飞行员皮夹克真皮男款外套M41</t>
        </is>
      </c>
    </row>
    <row r="11" ht="80" customHeight="1">
      <c r="A11" s="2" t="n">
        <v>10</v>
      </c>
      <c r="B11" s="2" t="inlineStr">
        <is>
          <t>U61</t>
        </is>
      </c>
      <c r="C11" s="3" t="inlineStr">
        <is>
          <t>GRIFFIN</t>
        </is>
      </c>
      <c r="D11" s="3" t="inlineStr">
        <is>
          <t>양가죽</t>
        </is>
      </c>
      <c r="E11" s="2" t="inlineStr">
        <is>
          <t>한국</t>
        </is>
      </c>
      <c r="F11" s="2" t="inlineStr">
        <is>
          <t>48</t>
        </is>
      </c>
      <c r="G11" s="2" t="n">
        <v>56</v>
      </c>
      <c r="H11" s="2" t="n">
        <v>66</v>
      </c>
      <c r="I11" s="2" t="n">
        <v>64</v>
      </c>
      <c r="J11" s="2" t="inlineStr"/>
      <c r="K11" s="2">
        <f>HYPERLINK("c:\Users\passp\Desktop\univercity\4-2\taobao_jackets\downloaded_jackets\item_1075374113206\photo_002.jpg", "photo_002.jpg")</f>
        <v/>
      </c>
      <c r="L11" s="2" t="n">
        <v>177</v>
      </c>
      <c r="M11" s="3" t="inlineStr">
        <is>
          <t>item_1075374113206</t>
        </is>
      </c>
      <c r="N11" s="3" t="inlineStr">
        <is>
          <t>vintage古着皮衣 男士修身机车款头层绵羊皮真皮外套时尚夹克 U61</t>
        </is>
      </c>
    </row>
    <row r="12" ht="80" customHeight="1">
      <c r="A12" s="2" t="n">
        <v>11</v>
      </c>
      <c r="B12" s="2" t="inlineStr">
        <is>
          <t>P211</t>
        </is>
      </c>
      <c r="C12" s="3" t="inlineStr">
        <is>
          <t>빈티지 오리지널</t>
        </is>
      </c>
      <c r="D12" s="3" t="inlineStr">
        <is>
          <t>양가죽</t>
        </is>
      </c>
      <c r="E12" s="2" t="inlineStr">
        <is>
          <t>불명</t>
        </is>
      </c>
      <c r="F12" s="2" t="inlineStr">
        <is>
          <t>45</t>
        </is>
      </c>
      <c r="G12" s="2" t="n">
        <v>50</v>
      </c>
      <c r="H12" s="2" t="n">
        <v>72</v>
      </c>
      <c r="I12" s="2" t="n">
        <v>61</v>
      </c>
      <c r="J12" s="2" t="inlineStr"/>
      <c r="K12" s="2">
        <f>HYPERLINK("c:\Users\passp\Desktop\univercity\4-2\taobao_jackets\downloaded_jackets\item_1081695145771\photo_002.jpg", "photo_002.jpg")</f>
        <v/>
      </c>
      <c r="L12" s="2" t="n">
        <v>235</v>
      </c>
      <c r="M12" s="3" t="inlineStr">
        <is>
          <t>item_1081695145771</t>
        </is>
      </c>
      <c r="N12" s="3" t="inlineStr">
        <is>
          <t>vintage古着皮衣 商务休闲百搭款头层羊皮男士西服简约款外套P211</t>
        </is>
      </c>
    </row>
    <row r="13" ht="80" customHeight="1">
      <c r="A13" s="2" t="n">
        <v>12</v>
      </c>
      <c r="B13" s="2" t="inlineStr">
        <is>
          <t>X31</t>
        </is>
      </c>
      <c r="C13" s="3" t="inlineStr">
        <is>
          <t>빈티지 오리지널</t>
        </is>
      </c>
      <c r="D13" s="3" t="inlineStr">
        <is>
          <t>양가죽</t>
        </is>
      </c>
      <c r="E13" s="2" t="inlineStr">
        <is>
          <t>불명</t>
        </is>
      </c>
      <c r="F13" s="2" t="inlineStr">
        <is>
          <t>48</t>
        </is>
      </c>
      <c r="G13" s="2" t="n">
        <v>55</v>
      </c>
      <c r="H13" s="2" t="n">
        <v>67</v>
      </c>
      <c r="I13" s="2" t="n">
        <v>59</v>
      </c>
      <c r="J13" s="2" t="inlineStr"/>
      <c r="K13" s="2">
        <f>HYPERLINK("c:\Users\passp\Desktop\univercity\4-2\taobao_jackets\downloaded_jackets\item_1054456462690\photo_002.jpg", "photo_002.jpg")</f>
        <v/>
      </c>
      <c r="L13" s="2" t="n">
        <v>232</v>
      </c>
      <c r="M13" s="3" t="inlineStr">
        <is>
          <t>item_1054456462690</t>
        </is>
      </c>
      <c r="N13" s="3" t="inlineStr">
        <is>
          <t>vintage古着皮衣 男士修身机车款头层绵羊皮真皮外套时尚夹克 X31</t>
        </is>
      </c>
    </row>
    <row r="14" ht="80" customHeight="1">
      <c r="A14" s="2" t="n">
        <v>13</v>
      </c>
      <c r="B14" s="2" t="inlineStr">
        <is>
          <t>V154</t>
        </is>
      </c>
      <c r="C14" s="3" t="inlineStr">
        <is>
          <t>빈티지 오리지널</t>
        </is>
      </c>
      <c r="D14" s="3" t="inlineStr">
        <is>
          <t>소가죽</t>
        </is>
      </c>
      <c r="E14" s="2" t="inlineStr">
        <is>
          <t>불명</t>
        </is>
      </c>
      <c r="F14" s="2" t="inlineStr">
        <is>
          <t>55</t>
        </is>
      </c>
      <c r="G14" s="2" t="n">
        <v>61</v>
      </c>
      <c r="H14" s="2" t="n">
        <v>67</v>
      </c>
      <c r="I14" s="2" t="n">
        <v>57</v>
      </c>
      <c r="J14" s="2" t="inlineStr"/>
      <c r="K14" s="2">
        <f>HYPERLINK("c:\Users\passp\Desktop\univercity\4-2\taobao_jackets\downloaded_jackets\item_1082717808296\photo_002.jpg", "photo_002.jpg")</f>
        <v/>
      </c>
      <c r="L14" s="2" t="n">
        <v>13</v>
      </c>
      <c r="M14" s="3" t="inlineStr">
        <is>
          <t>item_1082717808296</t>
        </is>
      </c>
      <c r="N14" s="3" t="inlineStr">
        <is>
          <t>vintage古着皮衣 复古机车风美式经典皮夹克头层牛皮外套男士V154</t>
        </is>
      </c>
    </row>
    <row r="15" ht="80" customHeight="1">
      <c r="A15" s="2" t="n">
        <v>14</v>
      </c>
      <c r="B15" s="2" t="inlineStr">
        <is>
          <t>V2</t>
        </is>
      </c>
      <c r="C15" s="3" t="inlineStr">
        <is>
          <t>빈티지 오리지널</t>
        </is>
      </c>
      <c r="D15" s="3" t="inlineStr">
        <is>
          <t>소가죽</t>
        </is>
      </c>
      <c r="E15" s="2" t="inlineStr">
        <is>
          <t>불명</t>
        </is>
      </c>
      <c r="F15" s="2" t="inlineStr">
        <is>
          <t>52</t>
        </is>
      </c>
      <c r="G15" s="2" t="n">
        <v>67</v>
      </c>
      <c r="H15" s="2" t="n">
        <v>67</v>
      </c>
      <c r="I15" s="2" t="n">
        <v>62</v>
      </c>
      <c r="J15" s="2" t="inlineStr"/>
      <c r="K15" s="2">
        <f>HYPERLINK("c:\Users\passp\Desktop\univercity\4-2\taobao_jackets\downloaded_jackets\item_963160907330\photo_003.jpg", "photo_003.jpg")</f>
        <v/>
      </c>
      <c r="L15" s="2" t="n">
        <v>15</v>
      </c>
      <c r="M15" s="3" t="inlineStr">
        <is>
          <t>item_963160907330</t>
        </is>
      </c>
      <c r="N15" s="3" t="inlineStr">
        <is>
          <t>vintage古着皮衣 复古重工头层牛皮西部印第安流苏夹克外套 V2</t>
        </is>
      </c>
    </row>
    <row r="16" ht="80" customHeight="1">
      <c r="A16" s="2" t="n">
        <v>15</v>
      </c>
      <c r="B16" s="2" t="inlineStr">
        <is>
          <t>V161</t>
        </is>
      </c>
      <c r="C16" s="3" t="inlineStr">
        <is>
          <t>빈티지 오리지널</t>
        </is>
      </c>
      <c r="D16" s="3" t="inlineStr">
        <is>
          <t>가죽 (수밀크)</t>
        </is>
      </c>
      <c r="E16" s="2" t="inlineStr">
        <is>
          <t>불명</t>
        </is>
      </c>
      <c r="F16" s="2" t="inlineStr">
        <is>
          <t>54</t>
        </is>
      </c>
      <c r="G16" s="2" t="n">
        <v>57</v>
      </c>
      <c r="H16" s="2" t="n">
        <v>65</v>
      </c>
      <c r="I16" s="2" t="n">
        <v>74</v>
      </c>
      <c r="J16" s="2" t="inlineStr"/>
      <c r="K16" s="2">
        <f>HYPERLINK("c:\Users\passp\Desktop\univercity\4-2\taobao_jackets\downloaded_jackets\item_1080314843824\photo_002.jpg", "photo_002.jpg")</f>
        <v/>
      </c>
      <c r="L16" s="2" t="n">
        <v>13</v>
      </c>
      <c r="M16" s="3" t="inlineStr">
        <is>
          <t>item_1080314843824</t>
        </is>
      </c>
      <c r="N16" s="3" t="inlineStr">
        <is>
          <t>vintage古着皮衣 水貂毛皮草冬季外套整貂大翻领夹克双面可穿V161</t>
        </is>
      </c>
    </row>
    <row r="17" ht="80" customHeight="1">
      <c r="A17" s="2" t="n">
        <v>16</v>
      </c>
      <c r="B17" s="2" t="inlineStr">
        <is>
          <t>V64</t>
        </is>
      </c>
      <c r="C17" s="3" t="inlineStr">
        <is>
          <t>빈티지 오리지널</t>
        </is>
      </c>
      <c r="D17" s="3" t="inlineStr">
        <is>
          <t>소가죽</t>
        </is>
      </c>
      <c r="E17" s="2" t="inlineStr">
        <is>
          <t>불명</t>
        </is>
      </c>
      <c r="F17" s="2" t="inlineStr">
        <is>
          <t>50</t>
        </is>
      </c>
      <c r="G17" s="2" t="n">
        <v>59</v>
      </c>
      <c r="H17" s="2" t="n">
        <v>64</v>
      </c>
      <c r="I17" s="2" t="n">
        <v>62</v>
      </c>
      <c r="J17" s="2" t="inlineStr"/>
      <c r="K17" s="2">
        <f>HYPERLINK("c:\Users\passp\Desktop\univercity\4-2\taobao_jackets\downloaded_jackets\item_982964565711\photo_003.jpg", "photo_003.jpg")</f>
        <v/>
      </c>
      <c r="L17" s="2" t="n">
        <v>14</v>
      </c>
      <c r="M17" s="3" t="inlineStr">
        <is>
          <t>item_982964565711</t>
        </is>
      </c>
      <c r="N17" s="3" t="inlineStr">
        <is>
          <t>vintage古着皮衣 复古吉普赛长袖流苏摩托车男士皮夹克外套 V64</t>
        </is>
      </c>
    </row>
    <row r="18" ht="80" customHeight="1">
      <c r="A18" s="2" t="n">
        <v>17</v>
      </c>
      <c r="B18" s="2" t="inlineStr">
        <is>
          <t>V82</t>
        </is>
      </c>
      <c r="C18" s="3" t="inlineStr">
        <is>
          <t>빈티지 오리지널</t>
        </is>
      </c>
      <c r="D18" s="3" t="inlineStr">
        <is>
          <t>소가죽</t>
        </is>
      </c>
      <c r="E18" s="2" t="inlineStr">
        <is>
          <t>불명</t>
        </is>
      </c>
      <c r="F18" s="2" t="inlineStr">
        <is>
          <t>55</t>
        </is>
      </c>
      <c r="G18" s="2" t="n">
        <v>58</v>
      </c>
      <c r="H18" s="2" t="n">
        <v>58</v>
      </c>
      <c r="I18" s="2" t="n">
        <v>54</v>
      </c>
      <c r="J18" s="2" t="inlineStr"/>
      <c r="K18" s="2">
        <f>HYPERLINK("c:\Users\passp\Desktop\univercity\4-2\taobao_jackets\downloaded_jackets\item_1078044637886\photo_002.jpg", "photo_002.jpg")</f>
        <v/>
      </c>
      <c r="L18" s="2" t="n">
        <v>14</v>
      </c>
      <c r="M18" s="3" t="inlineStr">
        <is>
          <t>item_1078044637886</t>
        </is>
      </c>
      <c r="N18" s="3" t="inlineStr">
        <is>
          <t>vintage古着皮衣 美式A2复古短款宽松飞行员皮夹克外套男女 V82</t>
        </is>
      </c>
    </row>
    <row r="19" ht="80" customHeight="1">
      <c r="A19" s="2" t="n">
        <v>18</v>
      </c>
      <c r="B19" s="2" t="inlineStr">
        <is>
          <t>V99</t>
        </is>
      </c>
      <c r="C19" s="3" t="inlineStr">
        <is>
          <t>빈티지 오리지널</t>
        </is>
      </c>
      <c r="D19" s="3" t="inlineStr">
        <is>
          <t>소가죽</t>
        </is>
      </c>
      <c r="E19" s="2" t="inlineStr">
        <is>
          <t>불명</t>
        </is>
      </c>
      <c r="F19" s="2" t="inlineStr">
        <is>
          <t>42</t>
        </is>
      </c>
      <c r="G19" s="2" t="n">
        <v>47</v>
      </c>
      <c r="H19" s="2" t="n">
        <v>52</v>
      </c>
      <c r="I19" s="2" t="n">
        <v>59</v>
      </c>
      <c r="J19" s="2" t="inlineStr"/>
      <c r="K19" s="2">
        <f>HYPERLINK("c:\Users\passp\Desktop\univercity\4-2\taobao_jackets\downloaded_jackets\item_1079411133222\photo_002.jpg", "photo_002.jpg")</f>
        <v/>
      </c>
      <c r="L19" s="2" t="n">
        <v>13</v>
      </c>
      <c r="M19" s="3" t="inlineStr">
        <is>
          <t>item_1079411133222</t>
        </is>
      </c>
      <c r="N19" s="3" t="inlineStr">
        <is>
          <t>vintage古着皮衣 美式复古短款斜拉链机车服皮夹克摩托车外套V99</t>
        </is>
      </c>
    </row>
    <row r="20" ht="80" customHeight="1">
      <c r="A20" s="2" t="n">
        <v>19</v>
      </c>
      <c r="B20" s="2" t="inlineStr">
        <is>
          <t>W25</t>
        </is>
      </c>
      <c r="C20" s="3" t="inlineStr">
        <is>
          <t>Peter Crouch</t>
        </is>
      </c>
      <c r="D20" s="3" t="inlineStr">
        <is>
          <t>鹿皮</t>
        </is>
      </c>
      <c r="E20" s="2" t="inlineStr">
        <is>
          <t>불명</t>
        </is>
      </c>
      <c r="F20" s="2" t="inlineStr">
        <is>
          <t>41</t>
        </is>
      </c>
      <c r="G20" s="2" t="n">
        <v>45</v>
      </c>
      <c r="H20" s="2" t="n">
        <v>71</v>
      </c>
      <c r="I20" s="2" t="n">
        <v>59</v>
      </c>
      <c r="J20" s="2" t="inlineStr"/>
      <c r="K20" s="2">
        <f>HYPERLINK("c:\Users\passp\Desktop\univercity\4-2\taobao_jackets\downloaded_jackets\item_967752064868\photo_003.jpg", "photo_003.jpg")</f>
        <v/>
      </c>
      <c r="L20" s="2" t="n">
        <v>14</v>
      </c>
      <c r="M20" s="3" t="inlineStr">
        <is>
          <t>item_967752064868</t>
        </is>
      </c>
      <c r="N20" s="3" t="inlineStr">
        <is>
          <t>vintage古着皮衣 复古磨砂牛皮西部印第安流苏摩托车夹克外套W25</t>
        </is>
      </c>
    </row>
    <row r="21" ht="80" customHeight="1">
      <c r="A21" s="2" t="n">
        <v>20</v>
      </c>
      <c r="B21" s="2" t="inlineStr">
        <is>
          <t>V93</t>
        </is>
      </c>
      <c r="C21" s="3" t="inlineStr">
        <is>
          <t>Vanson</t>
        </is>
      </c>
      <c r="D21" s="3" t="inlineStr">
        <is>
          <t>소가죽</t>
        </is>
      </c>
      <c r="E21" s="2" t="inlineStr">
        <is>
          <t>미국</t>
        </is>
      </c>
      <c r="F21" s="2" t="inlineStr">
        <is>
          <t>44</t>
        </is>
      </c>
      <c r="G21" s="2" t="n">
        <v>52</v>
      </c>
      <c r="H21" s="2" t="n">
        <v>55</v>
      </c>
      <c r="I21" s="2" t="n">
        <v>64</v>
      </c>
      <c r="J21" s="2" t="inlineStr"/>
      <c r="K21" s="2">
        <f>HYPERLINK("c:\Users\passp\Desktop\univercity\4-2\taobao_jackets\downloaded_jackets\item_1077843058059\photo_002.jpg", "photo_002.jpg")</f>
        <v/>
      </c>
      <c r="L21" s="2" t="n">
        <v>17</v>
      </c>
      <c r="M21" s="3" t="inlineStr">
        <is>
          <t>item_1077843058059</t>
        </is>
      </c>
      <c r="N21" s="3" t="inlineStr">
        <is>
          <t>vintage古着皮衣 美式复古短款斜拉链机车服皮夹克摩托车外套V93</t>
        </is>
      </c>
    </row>
    <row r="22" ht="80" customHeight="1">
      <c r="A22" s="2" t="n">
        <v>21</v>
      </c>
      <c r="B22" s="2" t="inlineStr">
        <is>
          <t>V100</t>
        </is>
      </c>
      <c r="C22" s="3" t="inlineStr">
        <is>
          <t>Vanson</t>
        </is>
      </c>
      <c r="D22" s="3" t="inlineStr">
        <is>
          <t>소가죽</t>
        </is>
      </c>
      <c r="E22" s="2" t="inlineStr">
        <is>
          <t>미국</t>
        </is>
      </c>
      <c r="F22" s="2" t="inlineStr">
        <is>
          <t>44</t>
        </is>
      </c>
      <c r="G22" s="2" t="n">
        <v>49</v>
      </c>
      <c r="H22" s="2" t="n">
        <v>57</v>
      </c>
      <c r="I22" s="2" t="n">
        <v>58</v>
      </c>
      <c r="J22" s="2" t="inlineStr"/>
      <c r="K22" s="2">
        <f>HYPERLINK("c:\Users\passp\Desktop\univercity\4-2\taobao_jackets\downloaded_jackets\item_1081834756981\photo_002.jpg", "photo_002.jpg")</f>
        <v/>
      </c>
      <c r="L22" s="2" t="n">
        <v>13</v>
      </c>
      <c r="M22" s="3" t="inlineStr">
        <is>
          <t>item_1081834756981</t>
        </is>
      </c>
      <c r="N22" s="3" t="inlineStr">
        <is>
          <t>vintage古着皮衣 复古美式短款拉链款机车服皮夹克摩托车外套V100</t>
        </is>
      </c>
    </row>
    <row r="23" ht="80" customHeight="1">
      <c r="A23" s="2" t="n">
        <v>22</v>
      </c>
      <c r="B23" s="2" t="inlineStr">
        <is>
          <t>V80</t>
        </is>
      </c>
      <c r="C23" s="3" t="inlineStr">
        <is>
          <t>빈티지 오리지널</t>
        </is>
      </c>
      <c r="D23" s="3" t="inlineStr">
        <is>
          <t>소가죽</t>
        </is>
      </c>
      <c r="E23" s="2" t="inlineStr">
        <is>
          <t>불명</t>
        </is>
      </c>
      <c r="F23" s="2" t="inlineStr">
        <is>
          <t>52</t>
        </is>
      </c>
      <c r="G23" s="2" t="n">
        <v>59</v>
      </c>
      <c r="H23" s="2" t="n">
        <v>65</v>
      </c>
      <c r="I23" s="2" t="n">
        <v>65</v>
      </c>
      <c r="J23" s="2" t="inlineStr"/>
      <c r="K23" s="2">
        <f>HYPERLINK("c:\Users\passp\Desktop\univercity\4-2\taobao_jackets\downloaded_jackets\item_1076140587381\photo_002.jpg", "photo_002.jpg")</f>
        <v/>
      </c>
      <c r="L23" s="2" t="n">
        <v>14</v>
      </c>
      <c r="M23" s="3" t="inlineStr">
        <is>
          <t>item_1076140587381</t>
        </is>
      </c>
      <c r="N23" s="3" t="inlineStr">
        <is>
          <t>vintage古着皮衣 美式A2复古短款宽松飞行员皮夹克外套男女 V80</t>
        </is>
      </c>
    </row>
    <row r="24" ht="80" customHeight="1">
      <c r="A24" s="2" t="n">
        <v>23</v>
      </c>
      <c r="B24" s="2" t="inlineStr">
        <is>
          <t>V87</t>
        </is>
      </c>
      <c r="C24" s="3" t="inlineStr">
        <is>
          <t>Club</t>
        </is>
      </c>
      <c r="D24" s="3" t="inlineStr">
        <is>
          <t>소가죽</t>
        </is>
      </c>
      <c r="E24" s="2" t="inlineStr">
        <is>
          <t>불명</t>
        </is>
      </c>
      <c r="F24" s="2" t="inlineStr">
        <is>
          <t>52</t>
        </is>
      </c>
      <c r="G24" s="2" t="n">
        <v>57</v>
      </c>
      <c r="H24" s="2" t="n">
        <v>62</v>
      </c>
      <c r="I24" s="2" t="n">
        <v>54</v>
      </c>
      <c r="J24" s="2" t="inlineStr"/>
      <c r="K24" s="2">
        <f>HYPERLINK("c:\Users\passp\Desktop\univercity\4-2\taobao_jackets\downloaded_jackets\item_1076689119808\photo_002.jpg", "photo_002.jpg")</f>
        <v/>
      </c>
      <c r="L24" s="2" t="n">
        <v>12</v>
      </c>
      <c r="M24" s="3" t="inlineStr">
        <is>
          <t>item_1076689119808</t>
        </is>
      </c>
      <c r="N24" s="3" t="inlineStr">
        <is>
          <t>vintage古着皮衣 美式A2复古短款宽松飞行员皮夹克外套男女 V87</t>
        </is>
      </c>
    </row>
    <row r="25" ht="80" customHeight="1">
      <c r="A25" s="2" t="n">
        <v>24</v>
      </c>
      <c r="B25" s="2" t="inlineStr">
        <is>
          <t>W28</t>
        </is>
      </c>
      <c r="C25" s="3" t="inlineStr">
        <is>
          <t>WESTERN</t>
        </is>
      </c>
      <c r="D25" s="3" t="inlineStr">
        <is>
          <t>사슴가죽</t>
        </is>
      </c>
      <c r="E25" s="2" t="inlineStr">
        <is>
          <t>불명</t>
        </is>
      </c>
      <c r="F25" s="2" t="inlineStr">
        <is>
          <t>47</t>
        </is>
      </c>
      <c r="G25" s="2" t="n">
        <v>59</v>
      </c>
      <c r="H25" s="2" t="n">
        <v>67</v>
      </c>
      <c r="I25" s="2" t="n">
        <v>66</v>
      </c>
      <c r="J25" s="2" t="inlineStr"/>
      <c r="K25" s="2">
        <f>HYPERLINK("c:\Users\passp\Desktop\univercity\4-2\taobao_jackets\downloaded_jackets\item_970351720471\photo_003.jpg", "photo_003.jpg")</f>
        <v/>
      </c>
      <c r="L25" s="2" t="n">
        <v>13</v>
      </c>
      <c r="M25" s="3" t="inlineStr">
        <is>
          <t>item_970351720471</t>
        </is>
      </c>
      <c r="N25" s="3" t="inlineStr">
        <is>
          <t>vintage古着皮衣 复古吉普赛长袖流苏摩托车男士皮夹克外套W28</t>
        </is>
      </c>
    </row>
    <row r="26" ht="80" customHeight="1">
      <c r="A26" s="2" t="n">
        <v>25</v>
      </c>
      <c r="B26" s="2" t="inlineStr">
        <is>
          <t>V160</t>
        </is>
      </c>
      <c r="C26" s="3" t="inlineStr">
        <is>
          <t>빈티지 오리지널</t>
        </is>
      </c>
      <c r="D26" s="3" t="inlineStr">
        <is>
          <t>소가죽</t>
        </is>
      </c>
      <c r="E26" s="2" t="inlineStr">
        <is>
          <t>불명</t>
        </is>
      </c>
      <c r="F26" s="2" t="inlineStr">
        <is>
          <t>连肩</t>
        </is>
      </c>
      <c r="G26" s="2" t="n">
        <v>61</v>
      </c>
      <c r="H26" s="2" t="n">
        <v>66</v>
      </c>
      <c r="I26" s="2" t="n">
        <v>75</v>
      </c>
      <c r="J26" s="2" t="inlineStr"/>
      <c r="K26" s="2">
        <f>HYPERLINK("c:\Users\passp\Desktop\univercity\4-2\taobao_jackets\downloaded_jackets\item_1080314063229\photo_002.jpg", "photo_002.jpg")</f>
        <v/>
      </c>
      <c r="L26" s="2" t="n">
        <v>17</v>
      </c>
      <c r="M26" s="3" t="inlineStr">
        <is>
          <t>item_1080314063229</t>
        </is>
      </c>
      <c r="N26" s="3" t="inlineStr">
        <is>
          <t>vintage古着皮衣 水貂毛皮草冬季外套整貂大翻领夹克双面可穿V160</t>
        </is>
      </c>
    </row>
    <row r="27" ht="80" customHeight="1">
      <c r="A27" s="2" t="n">
        <v>26</v>
      </c>
      <c r="B27" s="2" t="inlineStr">
        <is>
          <t>U22</t>
        </is>
      </c>
      <c r="C27" s="3" t="inlineStr">
        <is>
          <t>Milano</t>
        </is>
      </c>
      <c r="D27" s="3" t="inlineStr">
        <is>
          <t>사슴가죽</t>
        </is>
      </c>
      <c r="E27" s="2" t="inlineStr">
        <is>
          <t>한국</t>
        </is>
      </c>
      <c r="F27" s="2" t="inlineStr">
        <is>
          <t>52</t>
        </is>
      </c>
      <c r="G27" s="2" t="n">
        <v>62</v>
      </c>
      <c r="H27" s="2" t="n">
        <v>71</v>
      </c>
      <c r="I27" s="2" t="n">
        <v>63</v>
      </c>
      <c r="J27" s="2" t="inlineStr"/>
      <c r="K27" s="2">
        <f>HYPERLINK("c:\Users\passp\Desktop\univercity\4-2\taobao_jackets\downloaded_jackets\item_738083059484\photo_003.jpg", "photo_003.jpg")</f>
        <v/>
      </c>
      <c r="L27" s="2" t="n">
        <v>12</v>
      </c>
      <c r="M27" s="3" t="inlineStr">
        <is>
          <t>item_738083059484</t>
        </is>
      </c>
      <c r="N27" s="3" t="inlineStr">
        <is>
          <t>vintage古着皮衣 美式复古休闲款夹克外套阿美咔叽男款 鹿皮U22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2026-10-07T11:52:23Z</dcterms:created>
  <dcterms:modified xmlns:dcterms="http://purl.org/dc/terms/" xmlns:xsi="http://www.w3.org/2001/XMLSchema-instance" xsi:type="dcterms:W3CDTF">2026-10-07T11:52:26Z</dcterms:modified>
</cp:coreProperties>
</file>